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  <sheet name="Feuille 1 - Objet 2" sheetId="2" state="visible" r:id="rId4"/>
    <sheet name="Feuille 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<sst xmlns="http://schemas.openxmlformats.org/spreadsheetml/2006/main" count="166" uniqueCount="105">
  <si>
    <t xml:space="preserve">CAISSE FRAÎCHE — Calcul de coupe</t>
  </si>
  <si>
    <t xml:space="preserve">Le contreplaque n'est pas soumis a la norme NIMP 15 etant de base traite
 a la colle, a la pression et au chaud, et si moins de 0.6 mm</t>
  </si>
  <si>
    <t xml:space="preserve">Boulon zingue</t>
  </si>
  <si>
    <t xml:space="preserve">Boulon</t>
  </si>
  <si>
    <t xml:space="preserve">Insert filete bois he[agonale</t>
  </si>
  <si>
    <t xml:space="preserve">Insert</t>
  </si>
  <si>
    <t xml:space="preserve">Longueur cote le +long</t>
  </si>
  <si>
    <t xml:space="preserve">largeur cote court</t>
  </si>
  <si>
    <t xml:space="preserve">Hauteur</t>
  </si>
  <si>
    <t xml:space="preserve">Plaques 122x250 - Avant/Arriere + Gauche/Droite</t>
  </si>
  <si>
    <t xml:space="preserve">Plaques 122x250 - Contreplaque Haut/Bas</t>
  </si>
  <si>
    <t xml:space="preserve">Planches brutes 300cm necessaires</t>
  </si>
  <si>
    <t xml:space="preserve">Epaisseur CP Int</t>
  </si>
  <si>
    <t xml:space="preserve">Qt</t>
  </si>
  <si>
    <t xml:space="preserve">Dimensions interieures</t>
  </si>
  <si>
    <t xml:space="preserve">Contrepalque Avant/Arriere</t>
  </si>
  <si>
    <t xml:space="preserve">Epaisseur Planche</t>
  </si>
  <si>
    <t xml:space="preserve">Planche verticale court</t>
  </si>
  <si>
    <t xml:space="preserve">Planche verticale milieu</t>
  </si>
  <si>
    <t xml:space="preserve">Largeur Planche</t>
  </si>
  <si>
    <t xml:space="preserve">Planche horizontal milieu</t>
  </si>
  <si>
    <t xml:space="preserve">Planche horizontale Long</t>
  </si>
  <si>
    <t xml:space="preserve">Epaisseur  CP Ext</t>
  </si>
  <si>
    <t xml:space="preserve">Contrepalque Gauche/Droite</t>
  </si>
  <si>
    <t xml:space="preserve">Planche verticale courte</t>
  </si>
  <si>
    <t xml:space="preserve">Planche horizontale longue</t>
  </si>
  <si>
    <t xml:space="preserve">Contrepalque  Haut/Bas</t>
  </si>
  <si>
    <t xml:space="preserve">Planche pour passage du 
transpalette</t>
  </si>
  <si>
    <t xml:space="preserve">Dimensions Exterieures</t>
  </si>
  <si>
    <t xml:space="preserve">Planche en cml</t>
  </si>
  <si>
    <t xml:space="preserve">TOTAL</t>
  </si>
  <si>
    <t xml:space="preserve">Boulon / Insert</t>
  </si>
  <si>
    <t xml:space="preserve">CAISSE FRAÎCHE by LIRAA</t>
  </si>
  <si>
    <t xml:space="preserve">DEVIS</t>
  </si>
  <si>
    <t xml:space="preserve">106 RUE BRACION, 75014 PARIS</t>
  </si>
  <si>
    <t xml:space="preserve">N° de devis</t>
  </si>
  <si>
    <t xml:space="preserve">SIRET :</t>
  </si>
  <si>
    <t xml:space="preserve">À compléter</t>
  </si>
  <si>
    <t xml:space="preserve">Date d'émission</t>
  </si>
  <si>
    <t xml:space="preserve">Date de validité</t>
  </si>
  <si>
    <t xml:space="preserve">OBJET DU DEVIS — OBJET 1</t>
  </si>
  <si>
    <t xml:space="preserve">Nature de l'objet</t>
  </si>
  <si>
    <t xml:space="preserve">Sculpture</t>
  </si>
  <si>
    <t xml:space="preserve">Poids (kg)</t>
  </si>
  <si>
    <t xml:space="preserve">Longueur (cm)</t>
  </si>
  <si>
    <t xml:space="preserve">Largeur (cm)</t>
  </si>
  <si>
    <t xml:space="preserve">Hauteur (cm)</t>
  </si>
  <si>
    <t xml:space="preserve">OBJET DU DEVIS — OBJET 2 (si plusieurs caisses)</t>
  </si>
  <si>
    <t xml:space="preserve">DESTINATAIRE DU DEVIS</t>
  </si>
  <si>
    <t xml:space="preserve">Nom / Prénom ou Société</t>
  </si>
  <si>
    <t xml:space="preserve">Adresse de facturation</t>
  </si>
  <si>
    <t xml:space="preserve">Adresse email</t>
  </si>
  <si>
    <t xml:space="preserve">SIRET (si société)</t>
  </si>
  <si>
    <t xml:space="preserve">DÉLAI DE FABRICATION / LIVRAISON</t>
  </si>
  <si>
    <t xml:space="preserve">Délai choisi</t>
  </si>
  <si>
    <t xml:space="preserve">2 à 4 jours</t>
  </si>
  <si>
    <t xml:space="preserve">Coefficient main d'oeuvre</t>
  </si>
  <si>
    <t xml:space="preserve">Taux TVA</t>
  </si>
  <si>
    <t xml:space="preserve">OPTIONS SUPPLÉMENTAIRES</t>
  </si>
  <si>
    <t xml:space="preserve">Option</t>
  </si>
  <si>
    <t xml:space="preserve">Sélectionné (Oui/Non)</t>
  </si>
  <si>
    <t xml:space="preserve">Prix TTC</t>
  </si>
  <si>
    <t xml:space="preserve">Description</t>
  </si>
  <si>
    <t xml:space="preserve">Photogrammétrie</t>
  </si>
  <si>
    <t xml:space="preserve">Non</t>
  </si>
  <si>
    <t xml:space="preserve">Afin de ne pas déplacer votre objet jusqu'à notre atelier, nous venons prendre son empreinte 3D, envoyée directement à nos équipes pour la réalisation d'un calage intérieur au mm. Ainsi l'objet ne se déplace jamais sans être protégé.</t>
  </si>
  <si>
    <t xml:space="preserve">Livraison de la caisse</t>
  </si>
  <si>
    <t xml:space="preserve">Livraison de la caisse à l'adresse de facturation dans la journée.</t>
  </si>
  <si>
    <t xml:space="preserve">Mise en caisse</t>
  </si>
  <si>
    <t xml:space="preserve">Nous nous chargeons de la mise en boîte de votre objet. Au-delà de 120 kg, nous vous invitons à nous contacter par téléphone.</t>
  </si>
  <si>
    <t xml:space="preserve">Monte-charge</t>
  </si>
  <si>
    <t xml:space="preserve">Pour toute sortie de l'objet nécessitant une descente du 1er au 7e étage, nous prenons en charge la commande d'un dispositif approprié.</t>
  </si>
  <si>
    <t xml:space="preserve">Transport</t>
  </si>
  <si>
    <t xml:space="preserve">Nous assurons un transport vers les aéroports de Paris, ou tout autre lieu de livraison dans Paris et la petite couronne.</t>
  </si>
  <si>
    <t xml:space="preserve">TOTAL OPTIONS TTC</t>
  </si>
  <si>
    <t xml:space="preserve">DÉTAIL DU DEVIS — OBJET 1</t>
  </si>
  <si>
    <t xml:space="preserve">Matériaux</t>
  </si>
  <si>
    <t xml:space="preserve">Prix matériau unité HT</t>
  </si>
  <si>
    <t xml:space="preserve">Main d'oeuvre/unité HT</t>
  </si>
  <si>
    <t xml:space="preserve">Main d'oeuvre total HT</t>
  </si>
  <si>
    <t xml:space="preserve">Prix matériau TTC (unité)</t>
  </si>
  <si>
    <t xml:space="preserve">Prix total matériaux TTC</t>
  </si>
  <si>
    <t xml:space="preserve">Main d'oeuvre total TTC</t>
  </si>
  <si>
    <t xml:space="preserve">Coeff. main d'oeuvre (délai)</t>
  </si>
  <si>
    <t xml:space="preserve">Contreplaqué 5mm</t>
  </si>
  <si>
    <t xml:space="preserve">Contreplaqué 15mm</t>
  </si>
  <si>
    <t xml:space="preserve">Planches</t>
  </si>
  <si>
    <t xml:space="preserve">Insert, Boulon, vis, clous</t>
  </si>
  <si>
    <t xml:space="preserve">SOUS-TOTAL OBJET 1</t>
  </si>
  <si>
    <t xml:space="preserve">DÉTAIL DU DEVIS — OBJET 2 (si plusieurs caisses)</t>
  </si>
  <si>
    <t xml:space="preserve">SOUS-TOTAL OBJET 2</t>
  </si>
  <si>
    <t xml:space="preserve">TOTAL DEVIS TTC</t>
  </si>
  <si>
    <t xml:space="preserve">CONDITIONS ET MENTIONS LÉGALES</t>
  </si>
  <si>
    <t xml:space="preserve">Devis valable 30 jours à compter de la date d'émission (voir date de validité ci-dessus).</t>
  </si>
  <si>
    <t xml:space="preserve">TVA au taux de 20% incluse dans les montants TTC indiqués ci-dessus.</t>
  </si>
  <si>
    <t xml:space="preserve">Conditions de paiement : un acompte de 30% du montant TTC à la commande vaut acceptation du devis. Solde à la livraison.</t>
  </si>
  <si>
    <t xml:space="preserve">Le versement de l'acompte ci-dessus, associé à la signature du présent devis, vaut bon de commande.</t>
  </si>
  <si>
    <t xml:space="preserve">Les options supplémentaires sélectionnées ci-dessus sont incluses dans le total TTC du présent devis.</t>
  </si>
  <si>
    <t xml:space="preserve">COORDONNÉES BANCAIRES (pour versement acompte)</t>
  </si>
  <si>
    <t xml:space="preserve">Titulaire du compte</t>
  </si>
  <si>
    <t xml:space="preserve">IBAN</t>
  </si>
  <si>
    <t xml:space="preserve">BIC / SWIFT</t>
  </si>
  <si>
    <t xml:space="preserve">Banque</t>
  </si>
  <si>
    <t xml:space="preserve">Fait à Paris, le</t>
  </si>
  <si>
    <t xml:space="preserve">Bon pour accord (signature client) 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</si>
</sst>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General"/>
    <numFmt numFmtId="167" formatCode="000"/>
    <numFmt numFmtId="168" formatCode="dd/mm/yyyy"/>
    <numFmt numFmtId="169" formatCode="0.00"/>
    <numFmt numFmtId="170" formatCode="0%"/>
    <numFmt numFmtId="171" formatCode="#,##0.00"/>
    <numFmt numFmtId="172" formatCode="#,##0.00&quot; €&quot;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BBBBBB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i val="true"/>
      <sz val="10"/>
      <color rgb="FFBBBBB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6A1F"/>
      <name val="Arial"/>
      <family val="0"/>
      <charset val="1"/>
    </font>
    <font>
      <b val="true"/>
      <sz val="10"/>
      <color rgb="FFE06666"/>
      <name val="Arial"/>
      <family val="0"/>
      <charset val="1"/>
    </font>
    <font>
      <sz val="10"/>
      <color rgb="FF00FF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0000FF"/>
      <name val="Arial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1A1A1A"/>
      </patternFill>
    </fill>
    <fill>
      <patternFill patternType="solid">
        <fgColor rgb="FF1A1A1A"/>
        <bgColor rgb="FF333333"/>
      </patternFill>
    </fill>
    <fill>
      <patternFill patternType="solid">
        <fgColor rgb="FF333333"/>
        <bgColor rgb="FF3A3A3A"/>
      </patternFill>
    </fill>
    <fill>
      <patternFill patternType="solid">
        <fgColor rgb="FFE0E0E0"/>
        <bgColor rgb="FFCCFFCC"/>
      </patternFill>
    </fill>
    <fill>
      <patternFill patternType="solid">
        <fgColor rgb="FFCC5500"/>
        <bgColor rgb="FFFF6A1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A3A3A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A1F"/>
      <rgbColor rgb="FF666666"/>
      <rgbColor rgb="FF969696"/>
      <rgbColor rgb="FF003366"/>
      <rgbColor rgb="FF339966"/>
      <rgbColor rgb="FF1A1A1A"/>
      <rgbColor rgb="FF3A3A3A"/>
      <rgbColor rgb="FFCC55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vis-express.fr/vis-metaux-tete-hexagonale-th-classe-109-iso-4017/5961-2435350-vis-metaux-tete-hexagonale-th-m8x30-classe-109-acier-zingue.html?gad_source=1&amp;gad_campaignid=17189502710&amp;gclid=CjwKCAjwwfnUBhAtEiwAfQpAYrkHNcY7wU195rrH_uk-ALeupcLdsf" TargetMode="External"/><Relationship Id="rId2" Type="http://schemas.openxmlformats.org/officeDocument/2006/relationships/hyperlink" Target="https://www.vis-express.fr/ecrou-hc-hexagonal-creux/15501-2616644-ecrou-cle-de-8-hc8-m8-14x22-acier-zingue-blanc-312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vis-express.fr/vis-metaux-tete-hexagonale-th-classe-109-iso-4017/5961-2435350-vis-metaux-tete-hexagonale-th-m8x30-classe-109-acier-zingue.html?gad_source=1&amp;gad_campaignid=17189502710&amp;gclid=CjwKCAjwwfnUBhAtEiwAfQpAYrkHNcY7wU195rrH_uk-ALeupcLdsf" TargetMode="External"/><Relationship Id="rId2" Type="http://schemas.openxmlformats.org/officeDocument/2006/relationships/hyperlink" Target="https://www.vis-express.fr/ecrou-hc-hexagonal-creux/15501-2616644-ecrou-cle-de-8-hc8-m8-14x22-acier-zingue-blanc-312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7" min="3" style="1" width="13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1" min="10" style="1" width="12.57"/>
  </cols>
  <sheetData>
    <row r="1" customFormat="false" ht="21.75" hidden="false" customHeight="true" outlineLevel="0" collapsed="false">
      <c r="A1" s="2"/>
      <c r="B1" s="3" t="s">
        <v>0</v>
      </c>
      <c r="C1" s="3"/>
      <c r="D1" s="3"/>
      <c r="E1" s="3"/>
      <c r="F1" s="3"/>
      <c r="G1" s="3"/>
    </row>
    <row r="2" customFormat="false" ht="33.75" hidden="false" customHeight="true" outlineLevel="0" collapsed="false">
      <c r="A2" s="2"/>
      <c r="B2" s="4" t="s">
        <v>1</v>
      </c>
      <c r="C2" s="4"/>
      <c r="D2" s="4"/>
      <c r="E2" s="4"/>
      <c r="F2" s="4"/>
      <c r="G2" s="4"/>
    </row>
    <row r="3" customFormat="false" ht="15.75" hidden="false" customHeight="true" outlineLevel="0" collapsed="false">
      <c r="A3" s="2"/>
      <c r="B3" s="2" t="s">
        <v>2</v>
      </c>
      <c r="C3" s="5" t="s">
        <v>3</v>
      </c>
      <c r="D3" s="6"/>
      <c r="E3" s="6"/>
      <c r="F3" s="6"/>
      <c r="G3" s="6"/>
    </row>
    <row r="4" customFormat="false" ht="15.75" hidden="false" customHeight="true" outlineLevel="0" collapsed="false">
      <c r="A4" s="2"/>
      <c r="B4" s="2" t="s">
        <v>4</v>
      </c>
      <c r="C4" s="5" t="s">
        <v>5</v>
      </c>
      <c r="D4" s="6"/>
      <c r="E4" s="6"/>
      <c r="F4" s="6"/>
      <c r="G4" s="6"/>
    </row>
    <row r="5" customFormat="false" ht="15.75" hidden="false" customHeight="true" outlineLevel="0" collapsed="false">
      <c r="A5" s="2"/>
      <c r="B5" s="2"/>
      <c r="C5" s="6"/>
      <c r="D5" s="6"/>
      <c r="E5" s="6"/>
      <c r="F5" s="6"/>
      <c r="G5" s="6"/>
    </row>
    <row r="6" customFormat="false" ht="15.75" hidden="false" customHeight="true" outlineLevel="0" collapsed="false">
      <c r="A6" s="7"/>
      <c r="B6" s="7"/>
      <c r="C6" s="8" t="s">
        <v>6</v>
      </c>
      <c r="D6" s="8" t="s">
        <v>7</v>
      </c>
      <c r="E6" s="8" t="s">
        <v>8</v>
      </c>
      <c r="F6" s="9" t="s">
        <v>9</v>
      </c>
      <c r="G6" s="8" t="s">
        <v>10</v>
      </c>
      <c r="H6" s="10" t="s">
        <v>11</v>
      </c>
      <c r="I6" s="10" t="s">
        <v>12</v>
      </c>
    </row>
    <row r="7" customFormat="false" ht="15.75" hidden="false" customHeight="true" outlineLevel="0" collapsed="false">
      <c r="A7" s="8" t="s">
        <v>13</v>
      </c>
      <c r="B7" s="11" t="s">
        <v>14</v>
      </c>
      <c r="C7" s="12" t="n">
        <f aca="false">'Feuille 2'!C8</f>
        <v>75</v>
      </c>
      <c r="D7" s="12" t="n">
        <f aca="false">'Feuille 2'!E8</f>
        <v>98</v>
      </c>
      <c r="E7" s="12" t="n">
        <f aca="false">'Feuille 2'!G8</f>
        <v>100</v>
      </c>
      <c r="F7" s="6"/>
      <c r="G7" s="13"/>
      <c r="H7" s="14"/>
      <c r="I7" s="14" t="n">
        <v>0.5</v>
      </c>
    </row>
    <row r="8" customFormat="false" ht="15.75" hidden="false" customHeight="true" outlineLevel="0" collapsed="false">
      <c r="A8" s="15" t="n">
        <v>2</v>
      </c>
      <c r="B8" s="16" t="s">
        <v>15</v>
      </c>
      <c r="C8" s="17" t="n">
        <f aca="false">C7</f>
        <v>75</v>
      </c>
      <c r="D8" s="6"/>
      <c r="E8" s="17" t="n">
        <f aca="false">E7</f>
        <v>100</v>
      </c>
      <c r="F8" s="6" t="n">
        <f aca="false">IF(AND(MIN(C8,E8)&lt;=61,MAX(C8,E8)&lt;=250),0.5*A8,IF(AND(MIN(C8,E8)&lt;=122,MAX(C8,E8)&lt;=125),0.5*A8,IF(AND(MIN(C8,E8)&gt;61,MIN(C8,E8)&lt;=122,MAX(C8,E8)&gt;125,MAX(C8,E8)&lt;=250),1*A8,IF(AND(MIN(C8,E8)&gt;122,MIN(C8,E8)&lt;=244,MAX(C8,E8)&lt;=250),2*A8,"Hors limites"))))</f>
        <v>1</v>
      </c>
      <c r="G8" s="10"/>
      <c r="H8" s="10"/>
      <c r="I8" s="10" t="s">
        <v>16</v>
      </c>
    </row>
    <row r="9" customFormat="false" ht="15.75" hidden="false" customHeight="true" outlineLevel="0" collapsed="false">
      <c r="A9" s="15" t="n">
        <v>4</v>
      </c>
      <c r="B9" s="18" t="s">
        <v>17</v>
      </c>
      <c r="C9" s="15" t="n">
        <f aca="false">E8-2*I11</f>
        <v>86</v>
      </c>
      <c r="D9" s="6"/>
      <c r="E9" s="6"/>
      <c r="F9" s="6"/>
      <c r="G9" s="15"/>
      <c r="H9" s="15" t="n">
        <f aca="false">IF(C9&lt;=0,"Hors limites",IF(C9&lt;=75,ROUNDUP(A9/4,0),IF(C9&lt;=100,ROUNDUP(A9/3,0),IF(C9&lt;=150,ROUNDUP(A9/2,0),IF(C9&lt;=300,ROUNDUP(A9/1,0),"Hors limites")))))</f>
        <v>2</v>
      </c>
      <c r="I9" s="14" t="n">
        <v>3.5</v>
      </c>
    </row>
    <row r="10" customFormat="false" ht="15.75" hidden="false" customHeight="true" outlineLevel="0" collapsed="false">
      <c r="A10" s="15" t="n">
        <v>2</v>
      </c>
      <c r="B10" s="18" t="s">
        <v>18</v>
      </c>
      <c r="C10" s="15" t="n">
        <f aca="false">E8-2*I11</f>
        <v>86</v>
      </c>
      <c r="D10" s="6"/>
      <c r="E10" s="6"/>
      <c r="F10" s="6"/>
      <c r="G10" s="15"/>
      <c r="H10" s="15" t="n">
        <f aca="false">IF(C10&lt;=0,"Hors limites",IF(C10&lt;=75,ROUNDUP(A10/4,0),IF(C10&lt;=100,ROUNDUP(A10/3,0),IF(C10&lt;=150,ROUNDUP(A10/2,0),IF(C10&lt;=300,ROUNDUP(A10/1,0),"Hors limites")))))</f>
        <v>1</v>
      </c>
      <c r="I10" s="10" t="s">
        <v>19</v>
      </c>
    </row>
    <row r="11" customFormat="false" ht="15.75" hidden="false" customHeight="true" outlineLevel="0" collapsed="false">
      <c r="A11" s="15" t="n">
        <v>2</v>
      </c>
      <c r="B11" s="18" t="s">
        <v>20</v>
      </c>
      <c r="C11" s="17" t="n">
        <f aca="false">C8</f>
        <v>75</v>
      </c>
      <c r="D11" s="6"/>
      <c r="E11" s="6"/>
      <c r="F11" s="6"/>
      <c r="G11" s="15"/>
      <c r="H11" s="15" t="n">
        <f aca="false">IF(C11&lt;=0,"Hors limites",IF(C11&lt;=75,ROUNDUP(A11/4,0),IF(C11&lt;=100,ROUNDUP(A11/3,0),IF(C11&lt;=150,ROUNDUP(A11/2,0),IF(C11&lt;=300,ROUNDUP(A11/1,0),"Hors limites")))))</f>
        <v>1</v>
      </c>
      <c r="I11" s="14" t="n">
        <v>7</v>
      </c>
    </row>
    <row r="12" customFormat="false" ht="15.75" hidden="false" customHeight="true" outlineLevel="0" collapsed="false">
      <c r="A12" s="15" t="n">
        <v>4</v>
      </c>
      <c r="B12" s="18" t="s">
        <v>21</v>
      </c>
      <c r="C12" s="17" t="n">
        <f aca="false">C8</f>
        <v>75</v>
      </c>
      <c r="D12" s="6"/>
      <c r="E12" s="6"/>
      <c r="F12" s="6"/>
      <c r="G12" s="15"/>
      <c r="H12" s="15" t="n">
        <f aca="false">IF(C12&lt;=0,"Hors limites",IF(C12&lt;=75,ROUNDUP(A12/4,0),IF(C12&lt;=100,ROUNDUP(A12/3,0),IF(C12&lt;=150,ROUNDUP(A12/2,0),IF(C12&lt;=300,ROUNDUP(A12/1,0),"Hors limites")))))</f>
        <v>1</v>
      </c>
      <c r="I12" s="10" t="s">
        <v>22</v>
      </c>
    </row>
    <row r="13" customFormat="false" ht="15.75" hidden="false" customHeight="true" outlineLevel="0" collapsed="false">
      <c r="A13" s="15" t="n">
        <v>2</v>
      </c>
      <c r="B13" s="16" t="s">
        <v>23</v>
      </c>
      <c r="C13" s="6"/>
      <c r="D13" s="15" t="n">
        <f aca="false">D7+2*(2*I9+I7)</f>
        <v>113</v>
      </c>
      <c r="E13" s="17" t="n">
        <f aca="false">E7</f>
        <v>100</v>
      </c>
      <c r="F13" s="6" t="n">
        <f aca="false">IF(AND(MIN(D13,E13)&lt;=61,MAX(D13,E13)&lt;=250),0.5*A13,IF(AND(MIN(D13,E13)&lt;=122,MAX(D13,E13)&lt;=125),0.5*A13,IF(AND(MIN(D13,E13)&gt;61,MIN(D13,E13)&lt;=122,MAX(D13,E13)&gt;125,MAX(D13,E13)&lt;=250),1*A13,IF(AND(MIN(D13,E13)&gt;122,MIN(D13,E13)&lt;=244,MAX(D13,E13)&lt;=250),2*A13,"Hors limites"))))</f>
        <v>1</v>
      </c>
      <c r="G13" s="14"/>
      <c r="H13" s="14"/>
      <c r="I13" s="14" t="n">
        <v>1.5</v>
      </c>
    </row>
    <row r="14" customFormat="false" ht="15.75" hidden="false" customHeight="true" outlineLevel="0" collapsed="false">
      <c r="A14" s="15" t="n">
        <v>4</v>
      </c>
      <c r="B14" s="18" t="s">
        <v>24</v>
      </c>
      <c r="C14" s="15" t="n">
        <f aca="false">E13-2*I11</f>
        <v>86</v>
      </c>
      <c r="D14" s="6"/>
      <c r="E14" s="6"/>
      <c r="F14" s="6"/>
      <c r="G14" s="6"/>
      <c r="H14" s="6" t="n">
        <f aca="false">IF(C14&lt;=0,"Hors limites",IF(C14&lt;=75,ROUNDUP(A14/4,0),IF(C14&lt;=100,ROUNDUP(A14/3,0),IF(C14&lt;=150,ROUNDUP(A14/2,0),IF(C14&lt;=300,ROUNDUP(A14/1,0),"Hors limites")))))</f>
        <v>2</v>
      </c>
    </row>
    <row r="15" customFormat="false" ht="15.75" hidden="false" customHeight="true" outlineLevel="0" collapsed="false">
      <c r="A15" s="15" t="n">
        <v>2</v>
      </c>
      <c r="B15" s="18" t="s">
        <v>20</v>
      </c>
      <c r="C15" s="15" t="n">
        <f aca="false">D13-2*I11</f>
        <v>99</v>
      </c>
      <c r="D15" s="6"/>
      <c r="E15" s="6"/>
      <c r="F15" s="6"/>
      <c r="G15" s="6"/>
      <c r="H15" s="6" t="n">
        <f aca="false">IF(C15&lt;=0,"Hors limites",IF(C15&lt;=75,ROUNDUP(A15/4,0),IF(C15&lt;=100,ROUNDUP(A15/3,0),IF(C15&lt;=150,ROUNDUP(A15/2,0),IF(C15&lt;=300,ROUNDUP(A15/1,0),"Hors limites")))))</f>
        <v>1</v>
      </c>
    </row>
    <row r="16" customFormat="false" ht="15.75" hidden="false" customHeight="true" outlineLevel="0" collapsed="false">
      <c r="A16" s="15" t="n">
        <v>4</v>
      </c>
      <c r="B16" s="18" t="s">
        <v>25</v>
      </c>
      <c r="C16" s="15" t="n">
        <f aca="false">D13</f>
        <v>113</v>
      </c>
      <c r="D16" s="6"/>
      <c r="E16" s="6"/>
      <c r="F16" s="6"/>
      <c r="G16" s="6"/>
      <c r="H16" s="6" t="n">
        <f aca="false">IF(C16&lt;=0,"Hors limites",IF(C16&lt;=75,ROUNDUP(A16/4,0),IF(C16&lt;=100,ROUNDUP(A16/3,0),IF(C16&lt;=150,ROUNDUP(A16/2,0),IF(C16&lt;=300,ROUNDUP(A16/1,0),"Hors limites")))))</f>
        <v>2</v>
      </c>
    </row>
    <row r="17" customFormat="false" ht="15.75" hidden="false" customHeight="true" outlineLevel="0" collapsed="false">
      <c r="A17" s="15" t="n">
        <v>2</v>
      </c>
      <c r="B17" s="16" t="s">
        <v>26</v>
      </c>
      <c r="C17" s="15" t="n">
        <f aca="false">C8+2*(I9+I7)</f>
        <v>83</v>
      </c>
      <c r="D17" s="15" t="n">
        <f aca="false">D13</f>
        <v>113</v>
      </c>
      <c r="E17" s="6"/>
      <c r="F17" s="6"/>
      <c r="G17" s="6" t="n">
        <f aca="false">IF(AND(MIN(C17,D17)&lt;=61,MAX(C17,D17)&lt;=250),0.5*A17,IF(AND(MIN(C17,D17)&lt;=122,MAX(C17,D17)&lt;=125),0.5*A17,IF(AND(MIN(C17,D17)&gt;61,MIN(C17,D17)&lt;=122,MAX(C17,D17)&gt;125,MAX(C17,D17)&lt;=250),1*A17,IF(AND(MIN(C17,D17)&gt;122,MIN(C17,D17)&lt;=244,MAX(C17,D17)&lt;=250),2*A17,"Hors limites"))))</f>
        <v>1</v>
      </c>
    </row>
    <row r="18" customFormat="false" ht="15.75" hidden="false" customHeight="true" outlineLevel="0" collapsed="false">
      <c r="A18" s="6" t="n">
        <v>4</v>
      </c>
      <c r="B18" s="19" t="s">
        <v>27</v>
      </c>
      <c r="C18" s="6"/>
      <c r="D18" s="6" t="n">
        <f aca="false">D17</f>
        <v>113</v>
      </c>
      <c r="E18" s="6"/>
      <c r="F18" s="6"/>
      <c r="G18" s="6"/>
      <c r="H18" s="6" t="n">
        <f aca="false">IF(D18&lt;=0,"Hors limites",IF(D18&lt;=75,ROUNDUP(A18/4,0),IF(D18&lt;=100,ROUNDUP(A18/3,0),IF(D18&lt;=150,ROUNDUP(A18/2,0),IF(D18&lt;=300,ROUNDUP(A18/1,0),"Hors limites")))))</f>
        <v>2</v>
      </c>
    </row>
    <row r="19" customFormat="false" ht="15.75" hidden="false" customHeight="true" outlineLevel="0" collapsed="false">
      <c r="A19" s="2"/>
      <c r="B19" s="20" t="s">
        <v>28</v>
      </c>
      <c r="C19" s="21" t="n">
        <f aca="false">C17</f>
        <v>83</v>
      </c>
      <c r="D19" s="21" t="n">
        <f aca="false">D17</f>
        <v>113</v>
      </c>
      <c r="E19" s="21" t="n">
        <f aca="false">E7+2*I13</f>
        <v>103</v>
      </c>
      <c r="F19" s="6"/>
      <c r="G19" s="6"/>
    </row>
    <row r="20" customFormat="false" ht="15.75" hidden="false" customHeight="true" outlineLevel="0" collapsed="false">
      <c r="A20" s="14"/>
      <c r="B20" s="22" t="s">
        <v>29</v>
      </c>
      <c r="C20" s="2" t="n">
        <f aca="false">A9*C9+A10*C10+A11*C11+A12*C12+A14*C14+A15*C15+A16*C16+A18*D18</f>
        <v>2412</v>
      </c>
      <c r="D20" s="2"/>
      <c r="E20" s="2"/>
      <c r="F20" s="2"/>
      <c r="G20" s="2"/>
    </row>
    <row r="21" customFormat="false" ht="15.75" hidden="false" customHeight="true" outlineLevel="0" collapsed="false">
      <c r="A21" s="14"/>
      <c r="B21" s="22" t="s">
        <v>30</v>
      </c>
      <c r="C21" s="2"/>
      <c r="D21" s="2"/>
      <c r="E21" s="2"/>
      <c r="F21" s="20" t="n">
        <f aca="false">SUM(F8:F19)</f>
        <v>2</v>
      </c>
      <c r="G21" s="20" t="n">
        <f aca="false">SUM(G8:G19)</f>
        <v>1</v>
      </c>
      <c r="H21" s="20" t="n">
        <f aca="false">SUM(H8:H19)</f>
        <v>12</v>
      </c>
    </row>
    <row r="22" customFormat="false" ht="15.75" hidden="false" customHeight="true" outlineLevel="0" collapsed="false">
      <c r="A22" s="14" t="n">
        <v>36</v>
      </c>
      <c r="B22" s="22" t="s">
        <v>31</v>
      </c>
      <c r="C22" s="2"/>
      <c r="D22" s="2"/>
      <c r="E22" s="2"/>
      <c r="F22" s="2"/>
      <c r="G22" s="2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</sheetData>
  <mergeCells count="2">
    <mergeCell ref="B1:G1"/>
    <mergeCell ref="B2:G2"/>
  </mergeCells>
  <hyperlinks>
    <hyperlink ref="C3" r:id="rId1" display="Boulon"/>
    <hyperlink ref="C4" r:id="rId2" location="/21-conditionnement-1_piece" display="Inse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7" min="3" style="1" width="13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1" min="10" style="1" width="12.57"/>
  </cols>
  <sheetData>
    <row r="1" customFormat="false" ht="21.75" hidden="false" customHeight="true" outlineLevel="0" collapsed="false">
      <c r="A1" s="2"/>
      <c r="B1" s="3" t="s">
        <v>0</v>
      </c>
      <c r="C1" s="3"/>
      <c r="D1" s="3"/>
      <c r="E1" s="3"/>
      <c r="F1" s="3"/>
      <c r="G1" s="3"/>
    </row>
    <row r="2" customFormat="false" ht="33.75" hidden="false" customHeight="true" outlineLevel="0" collapsed="false">
      <c r="A2" s="2"/>
      <c r="B2" s="4" t="s">
        <v>1</v>
      </c>
      <c r="C2" s="4"/>
      <c r="D2" s="4"/>
      <c r="E2" s="4"/>
      <c r="F2" s="4"/>
      <c r="G2" s="4"/>
    </row>
    <row r="3" customFormat="false" ht="15.75" hidden="false" customHeight="true" outlineLevel="0" collapsed="false">
      <c r="A3" s="2"/>
      <c r="B3" s="2" t="s">
        <v>2</v>
      </c>
      <c r="C3" s="5" t="s">
        <v>3</v>
      </c>
      <c r="D3" s="6"/>
      <c r="E3" s="6"/>
      <c r="F3" s="6"/>
      <c r="G3" s="6"/>
    </row>
    <row r="4" customFormat="false" ht="15.75" hidden="false" customHeight="true" outlineLevel="0" collapsed="false">
      <c r="A4" s="2"/>
      <c r="B4" s="2" t="s">
        <v>4</v>
      </c>
      <c r="C4" s="5" t="s">
        <v>5</v>
      </c>
      <c r="D4" s="6"/>
      <c r="E4" s="6"/>
      <c r="F4" s="6"/>
      <c r="G4" s="6"/>
    </row>
    <row r="5" customFormat="false" ht="15.75" hidden="false" customHeight="true" outlineLevel="0" collapsed="false">
      <c r="A5" s="2"/>
      <c r="B5" s="2"/>
      <c r="C5" s="6"/>
      <c r="D5" s="6"/>
      <c r="E5" s="6"/>
      <c r="F5" s="6"/>
      <c r="G5" s="6"/>
    </row>
    <row r="6" customFormat="false" ht="15.75" hidden="false" customHeight="true" outlineLevel="0" collapsed="false">
      <c r="A6" s="7"/>
      <c r="B6" s="7"/>
      <c r="C6" s="8" t="s">
        <v>6</v>
      </c>
      <c r="D6" s="8" t="s">
        <v>7</v>
      </c>
      <c r="E6" s="8" t="s">
        <v>8</v>
      </c>
      <c r="F6" s="9" t="s">
        <v>9</v>
      </c>
      <c r="G6" s="8" t="s">
        <v>10</v>
      </c>
      <c r="H6" s="10" t="s">
        <v>11</v>
      </c>
      <c r="I6" s="10" t="s">
        <v>12</v>
      </c>
    </row>
    <row r="7" customFormat="false" ht="15.75" hidden="false" customHeight="true" outlineLevel="0" collapsed="false">
      <c r="A7" s="8" t="s">
        <v>13</v>
      </c>
      <c r="B7" s="11" t="s">
        <v>14</v>
      </c>
      <c r="C7" s="12" t="n">
        <f aca="false">'Feuille 2'!C12</f>
        <v>125</v>
      </c>
      <c r="D7" s="12" t="n">
        <f aca="false">'Feuille 2'!E12</f>
        <v>68</v>
      </c>
      <c r="E7" s="12" t="n">
        <f aca="false">'Feuille 2'!G12</f>
        <v>180</v>
      </c>
      <c r="F7" s="6"/>
      <c r="G7" s="13"/>
      <c r="H7" s="14"/>
      <c r="I7" s="14" t="n">
        <v>0.5</v>
      </c>
    </row>
    <row r="8" customFormat="false" ht="15.75" hidden="false" customHeight="true" outlineLevel="0" collapsed="false">
      <c r="A8" s="15" t="n">
        <v>2</v>
      </c>
      <c r="B8" s="16" t="s">
        <v>15</v>
      </c>
      <c r="C8" s="17" t="n">
        <f aca="false">C7</f>
        <v>125</v>
      </c>
      <c r="D8" s="6"/>
      <c r="E8" s="17" t="n">
        <f aca="false">E7</f>
        <v>180</v>
      </c>
      <c r="F8" s="6" t="n">
        <f aca="false">IF(AND(MIN(C8,E8)&lt;=61,MAX(C8,E8)&lt;=250),0.5*A8,IF(AND(MIN(C8,E8)&lt;=122,MAX(C8,E8)&lt;=125),0.5*A8,IF(AND(MIN(C8,E8)&gt;61,MIN(C8,E8)&lt;=122,MAX(C8,E8)&gt;125,MAX(C8,E8)&lt;=250),1*A8,IF(AND(MIN(C8,E8)&gt;122,MIN(C8,E8)&lt;=244,MAX(C8,E8)&lt;=250),2*A8,"Hors limites"))))</f>
        <v>4</v>
      </c>
      <c r="G8" s="10"/>
      <c r="H8" s="10"/>
      <c r="I8" s="10" t="s">
        <v>16</v>
      </c>
    </row>
    <row r="9" customFormat="false" ht="15.75" hidden="false" customHeight="true" outlineLevel="0" collapsed="false">
      <c r="A9" s="15" t="n">
        <v>4</v>
      </c>
      <c r="B9" s="18" t="s">
        <v>17</v>
      </c>
      <c r="C9" s="15" t="n">
        <f aca="false">E8-2*I11</f>
        <v>166</v>
      </c>
      <c r="D9" s="6"/>
      <c r="E9" s="6"/>
      <c r="F9" s="6"/>
      <c r="G9" s="15"/>
      <c r="H9" s="15" t="n">
        <f aca="false">IF(C9&lt;=0,"Hors limites",IF(C9&lt;=75,ROUNDUP(A9/4,0),IF(C9&lt;=100,ROUNDUP(A9/3,0),IF(C9&lt;=150,ROUNDUP(A9/2,0),IF(C9&lt;=300,ROUNDUP(A9/1,0),"Hors limites")))))</f>
        <v>4</v>
      </c>
      <c r="I9" s="14" t="n">
        <v>3.5</v>
      </c>
    </row>
    <row r="10" customFormat="false" ht="15.75" hidden="false" customHeight="true" outlineLevel="0" collapsed="false">
      <c r="A10" s="15" t="n">
        <v>2</v>
      </c>
      <c r="B10" s="18" t="s">
        <v>18</v>
      </c>
      <c r="C10" s="15" t="n">
        <f aca="false">E8-2*I11</f>
        <v>166</v>
      </c>
      <c r="D10" s="6"/>
      <c r="E10" s="6"/>
      <c r="F10" s="6"/>
      <c r="G10" s="15"/>
      <c r="H10" s="15" t="n">
        <f aca="false">IF(C10&lt;=0,"Hors limites",IF(C10&lt;=75,ROUNDUP(A10/4,0),IF(C10&lt;=100,ROUNDUP(A10/3,0),IF(C10&lt;=150,ROUNDUP(A10/2,0),IF(C10&lt;=300,ROUNDUP(A10/1,0),"Hors limites")))))</f>
        <v>2</v>
      </c>
      <c r="I10" s="10" t="s">
        <v>19</v>
      </c>
    </row>
    <row r="11" customFormat="false" ht="15.75" hidden="false" customHeight="true" outlineLevel="0" collapsed="false">
      <c r="A11" s="15" t="n">
        <v>2</v>
      </c>
      <c r="B11" s="18" t="s">
        <v>20</v>
      </c>
      <c r="C11" s="17" t="n">
        <f aca="false">C8</f>
        <v>125</v>
      </c>
      <c r="D11" s="6"/>
      <c r="E11" s="6"/>
      <c r="F11" s="6"/>
      <c r="G11" s="15"/>
      <c r="H11" s="15" t="n">
        <f aca="false">IF(C11&lt;=0,"Hors limites",IF(C11&lt;=75,ROUNDUP(A11/4,0),IF(C11&lt;=100,ROUNDUP(A11/3,0),IF(C11&lt;=150,ROUNDUP(A11/2,0),IF(C11&lt;=300,ROUNDUP(A11/1,0),"Hors limites")))))</f>
        <v>1</v>
      </c>
      <c r="I11" s="14" t="n">
        <v>7</v>
      </c>
    </row>
    <row r="12" customFormat="false" ht="15.75" hidden="false" customHeight="true" outlineLevel="0" collapsed="false">
      <c r="A12" s="15" t="n">
        <v>4</v>
      </c>
      <c r="B12" s="18" t="s">
        <v>21</v>
      </c>
      <c r="C12" s="17" t="n">
        <f aca="false">C8</f>
        <v>125</v>
      </c>
      <c r="D12" s="6"/>
      <c r="E12" s="6"/>
      <c r="F12" s="6"/>
      <c r="G12" s="15"/>
      <c r="H12" s="15" t="n">
        <f aca="false">IF(C12&lt;=0,"Hors limites",IF(C12&lt;=75,ROUNDUP(A12/4,0),IF(C12&lt;=100,ROUNDUP(A12/3,0),IF(C12&lt;=150,ROUNDUP(A12/2,0),IF(C12&lt;=300,ROUNDUP(A12/1,0),"Hors limites")))))</f>
        <v>2</v>
      </c>
      <c r="I12" s="10" t="s">
        <v>22</v>
      </c>
    </row>
    <row r="13" customFormat="false" ht="15.75" hidden="false" customHeight="true" outlineLevel="0" collapsed="false">
      <c r="A13" s="15" t="n">
        <v>2</v>
      </c>
      <c r="B13" s="16" t="s">
        <v>23</v>
      </c>
      <c r="C13" s="6"/>
      <c r="D13" s="15" t="n">
        <f aca="false">D7+2*(2*I9+I7)</f>
        <v>83</v>
      </c>
      <c r="E13" s="17" t="n">
        <f aca="false">E7</f>
        <v>180</v>
      </c>
      <c r="F13" s="6" t="n">
        <f aca="false">IF(AND(MIN(D13,E13)&lt;=61,MAX(D13,E13)&lt;=250),0.5*A13,IF(AND(MIN(D13,E13)&lt;=122,MAX(D13,E13)&lt;=125),0.5*A13,IF(AND(MIN(D13,E13)&gt;61,MIN(D13,E13)&lt;=122,MAX(D13,E13)&gt;125,MAX(D13,E13)&lt;=250),1*A13,IF(AND(MIN(D13,E13)&gt;122,MIN(D13,E13)&lt;=244,MAX(D13,E13)&lt;=250),2*A13,"Hors limites"))))</f>
        <v>2</v>
      </c>
      <c r="G13" s="14"/>
      <c r="H13" s="14"/>
      <c r="I13" s="14" t="n">
        <v>1.5</v>
      </c>
    </row>
    <row r="14" customFormat="false" ht="15.75" hidden="false" customHeight="true" outlineLevel="0" collapsed="false">
      <c r="A14" s="15" t="n">
        <v>4</v>
      </c>
      <c r="B14" s="18" t="s">
        <v>24</v>
      </c>
      <c r="C14" s="15" t="n">
        <f aca="false">E13-2*I11</f>
        <v>166</v>
      </c>
      <c r="D14" s="6"/>
      <c r="E14" s="6"/>
      <c r="F14" s="6"/>
      <c r="G14" s="6"/>
      <c r="H14" s="6" t="n">
        <f aca="false">IF(C14&lt;=0,"Hors limites",IF(C14&lt;=75,ROUNDUP(A14/4,0),IF(C14&lt;=100,ROUNDUP(A14/3,0),IF(C14&lt;=150,ROUNDUP(A14/2,0),IF(C14&lt;=300,ROUNDUP(A14/1,0),"Hors limites")))))</f>
        <v>4</v>
      </c>
    </row>
    <row r="15" customFormat="false" ht="15.75" hidden="false" customHeight="true" outlineLevel="0" collapsed="false">
      <c r="A15" s="15" t="n">
        <v>2</v>
      </c>
      <c r="B15" s="18" t="s">
        <v>20</v>
      </c>
      <c r="C15" s="15" t="n">
        <f aca="false">D13-2*I11</f>
        <v>69</v>
      </c>
      <c r="D15" s="6"/>
      <c r="E15" s="6"/>
      <c r="F15" s="6"/>
      <c r="G15" s="6"/>
      <c r="H15" s="6" t="n">
        <f aca="false">IF(C15&lt;=0,"Hors limites",IF(C15&lt;=75,ROUNDUP(A15/4,0),IF(C15&lt;=100,ROUNDUP(A15/3,0),IF(C15&lt;=150,ROUNDUP(A15/2,0),IF(C15&lt;=300,ROUNDUP(A15/1,0),"Hors limites")))))</f>
        <v>1</v>
      </c>
    </row>
    <row r="16" customFormat="false" ht="15.75" hidden="false" customHeight="true" outlineLevel="0" collapsed="false">
      <c r="A16" s="15" t="n">
        <v>4</v>
      </c>
      <c r="B16" s="18" t="s">
        <v>25</v>
      </c>
      <c r="C16" s="15" t="n">
        <f aca="false">D13</f>
        <v>83</v>
      </c>
      <c r="D16" s="6"/>
      <c r="E16" s="6"/>
      <c r="F16" s="6"/>
      <c r="G16" s="6"/>
      <c r="H16" s="6" t="n">
        <f aca="false">IF(C16&lt;=0,"Hors limites",IF(C16&lt;=75,ROUNDUP(A16/4,0),IF(C16&lt;=100,ROUNDUP(A16/3,0),IF(C16&lt;=150,ROUNDUP(A16/2,0),IF(C16&lt;=300,ROUNDUP(A16/1,0),"Hors limites")))))</f>
        <v>2</v>
      </c>
    </row>
    <row r="17" customFormat="false" ht="15.75" hidden="false" customHeight="true" outlineLevel="0" collapsed="false">
      <c r="A17" s="15" t="n">
        <v>2</v>
      </c>
      <c r="B17" s="16" t="s">
        <v>26</v>
      </c>
      <c r="C17" s="15" t="n">
        <f aca="false">C8+2*(I9+I7)</f>
        <v>133</v>
      </c>
      <c r="D17" s="15" t="n">
        <f aca="false">D13</f>
        <v>83</v>
      </c>
      <c r="E17" s="6"/>
      <c r="F17" s="6"/>
      <c r="G17" s="6" t="n">
        <f aca="false">IF(AND(MIN(C17,D17)&lt;=61,MAX(C17,D17)&lt;=250),0.5*A17,IF(AND(MIN(C17,D17)&lt;=122,MAX(C17,D17)&lt;=125),0.5*A17,IF(AND(MIN(C17,D17)&gt;61,MIN(C17,D17)&lt;=122,MAX(C17,D17)&gt;125,MAX(C17,D17)&lt;=250),1*A17,IF(AND(MIN(C17,D17)&gt;122,MIN(C17,D17)&lt;=244,MAX(C17,D17)&lt;=250),2*A17,"Hors limites"))))</f>
        <v>2</v>
      </c>
    </row>
    <row r="18" customFormat="false" ht="15.75" hidden="false" customHeight="true" outlineLevel="0" collapsed="false">
      <c r="A18" s="6" t="n">
        <v>4</v>
      </c>
      <c r="B18" s="19" t="s">
        <v>27</v>
      </c>
      <c r="C18" s="6"/>
      <c r="D18" s="6" t="n">
        <f aca="false">D17</f>
        <v>83</v>
      </c>
      <c r="E18" s="6"/>
      <c r="F18" s="6"/>
      <c r="G18" s="6"/>
      <c r="H18" s="6" t="n">
        <f aca="false">IF(D18&lt;=0,"Hors limites",IF(D18&lt;=75,ROUNDUP(A18/4,0),IF(D18&lt;=100,ROUNDUP(A18/3,0),IF(D18&lt;=150,ROUNDUP(A18/2,0),IF(D18&lt;=300,ROUNDUP(A18/1,0),"Hors limites")))))</f>
        <v>2</v>
      </c>
    </row>
    <row r="19" customFormat="false" ht="15.75" hidden="false" customHeight="true" outlineLevel="0" collapsed="false">
      <c r="A19" s="2"/>
      <c r="B19" s="20" t="s">
        <v>28</v>
      </c>
      <c r="C19" s="21" t="n">
        <f aca="false">C17</f>
        <v>133</v>
      </c>
      <c r="D19" s="21" t="n">
        <f aca="false">D17</f>
        <v>83</v>
      </c>
      <c r="E19" s="21" t="n">
        <f aca="false">E7+2*I13</f>
        <v>183</v>
      </c>
      <c r="F19" s="6"/>
      <c r="G19" s="6"/>
    </row>
    <row r="20" customFormat="false" ht="15.75" hidden="false" customHeight="true" outlineLevel="0" collapsed="false">
      <c r="A20" s="14"/>
      <c r="B20" s="22" t="s">
        <v>29</v>
      </c>
      <c r="C20" s="2" t="n">
        <f aca="false">A9*C9+A10*C10+A11*C11+A12*C12+A14*C14+A15*C15+A16*C16+A18*D18</f>
        <v>3212</v>
      </c>
      <c r="D20" s="2"/>
      <c r="E20" s="2"/>
      <c r="F20" s="2"/>
      <c r="G20" s="2"/>
    </row>
    <row r="21" customFormat="false" ht="15.75" hidden="false" customHeight="true" outlineLevel="0" collapsed="false">
      <c r="A21" s="14"/>
      <c r="B21" s="22" t="s">
        <v>30</v>
      </c>
      <c r="C21" s="2"/>
      <c r="D21" s="2"/>
      <c r="E21" s="2"/>
      <c r="F21" s="20" t="n">
        <f aca="false">SUM(F8:F19)</f>
        <v>6</v>
      </c>
      <c r="G21" s="20" t="n">
        <f aca="false">SUM(G8:G19)</f>
        <v>2</v>
      </c>
      <c r="H21" s="20" t="n">
        <f aca="false">SUM(H8:H19)</f>
        <v>18</v>
      </c>
    </row>
    <row r="22" customFormat="false" ht="15.75" hidden="false" customHeight="true" outlineLevel="0" collapsed="false">
      <c r="A22" s="14" t="n">
        <v>36</v>
      </c>
      <c r="B22" s="22" t="s">
        <v>31</v>
      </c>
      <c r="C22" s="2"/>
      <c r="D22" s="2"/>
      <c r="E22" s="2"/>
      <c r="F22" s="2"/>
      <c r="G22" s="2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</sheetData>
  <mergeCells count="2">
    <mergeCell ref="B1:G1"/>
    <mergeCell ref="B2:G2"/>
  </mergeCells>
  <hyperlinks>
    <hyperlink ref="C3" r:id="rId1" display="Boulon"/>
    <hyperlink ref="C4" r:id="rId2" location="/21-conditionnement-1_piece" display="Inse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4" min="3" style="1" width="16"/>
    <col collapsed="false" customWidth="true" hidden="false" outlineLevel="0" max="5" min="5" style="1" width="15"/>
    <col collapsed="false" customWidth="true" hidden="false" outlineLevel="0" max="8" min="6" style="1" width="16"/>
    <col collapsed="false" customWidth="true" hidden="false" outlineLevel="0" max="9" min="9" style="1" width="14"/>
  </cols>
  <sheetData>
    <row r="1" customFormat="false" ht="19.5" hidden="false" customHeight="true" outlineLevel="0" collapsed="false">
      <c r="B1" s="23" t="s">
        <v>32</v>
      </c>
      <c r="E1" s="24" t="s">
        <v>33</v>
      </c>
    </row>
    <row r="2" customFormat="false" ht="15" hidden="false" customHeight="true" outlineLevel="0" collapsed="false">
      <c r="B2" s="25" t="s">
        <v>34</v>
      </c>
      <c r="E2" s="25" t="s">
        <v>35</v>
      </c>
      <c r="F2" s="26" t="n">
        <v>1</v>
      </c>
      <c r="G2" s="1" t="str">
        <f aca="false">"DEV-"&amp;YEAR($F$3)&amp;"-"&amp;TEXT(MONTH($F$3),"00")&amp;"-"&amp;TEXT($F$2,"000")</f>
        <v>DEV-2026-09-001</v>
      </c>
    </row>
    <row r="3" customFormat="false" ht="15" hidden="false" customHeight="true" outlineLevel="0" collapsed="false">
      <c r="B3" s="25" t="s">
        <v>36</v>
      </c>
      <c r="C3" s="27" t="s">
        <v>37</v>
      </c>
      <c r="E3" s="25" t="s">
        <v>38</v>
      </c>
      <c r="F3" s="28" t="n">
        <f aca="true">TODAY()</f>
        <v>46279</v>
      </c>
    </row>
    <row r="4" customFormat="false" ht="15" hidden="false" customHeight="true" outlineLevel="0" collapsed="false">
      <c r="E4" s="25" t="s">
        <v>39</v>
      </c>
      <c r="F4" s="28" t="n">
        <f aca="false">F3+30</f>
        <v>46309</v>
      </c>
    </row>
    <row r="6" customFormat="false" ht="19.5" hidden="false" customHeight="true" outlineLevel="0" collapsed="false">
      <c r="A6" s="29"/>
      <c r="B6" s="30" t="s">
        <v>40</v>
      </c>
      <c r="C6" s="31"/>
      <c r="D6" s="31"/>
      <c r="E6" s="31"/>
      <c r="F6" s="31"/>
      <c r="G6" s="31"/>
      <c r="H6" s="31"/>
      <c r="I6" s="31"/>
    </row>
    <row r="7" customFormat="false" ht="15" hidden="false" customHeight="true" outlineLevel="0" collapsed="false">
      <c r="A7" s="29"/>
      <c r="B7" s="25" t="s">
        <v>41</v>
      </c>
      <c r="C7" s="27" t="s">
        <v>42</v>
      </c>
      <c r="D7" s="25" t="s">
        <v>43</v>
      </c>
      <c r="E7" s="32" t="n">
        <v>12</v>
      </c>
      <c r="F7" s="29"/>
      <c r="G7" s="29"/>
      <c r="H7" s="29"/>
      <c r="I7" s="29"/>
    </row>
    <row r="8" customFormat="false" ht="15" hidden="false" customHeight="true" outlineLevel="0" collapsed="false">
      <c r="A8" s="29"/>
      <c r="B8" s="25" t="s">
        <v>44</v>
      </c>
      <c r="C8" s="32" t="n">
        <v>75</v>
      </c>
      <c r="D8" s="25" t="s">
        <v>45</v>
      </c>
      <c r="E8" s="32" t="n">
        <v>98</v>
      </c>
      <c r="F8" s="25" t="s">
        <v>46</v>
      </c>
      <c r="G8" s="32" t="n">
        <v>100</v>
      </c>
      <c r="H8" s="29"/>
      <c r="I8" s="29"/>
    </row>
    <row r="9" customFormat="false" ht="15" hidden="false" customHeight="true" outlineLevel="0" collapsed="false">
      <c r="A9" s="29"/>
      <c r="B9" s="29"/>
      <c r="C9" s="29"/>
      <c r="D9" s="29"/>
      <c r="E9" s="29"/>
      <c r="F9" s="29"/>
      <c r="G9" s="29"/>
      <c r="H9" s="29"/>
      <c r="I9" s="29"/>
    </row>
    <row r="10" customFormat="false" ht="19.5" hidden="false" customHeight="true" outlineLevel="0" collapsed="false">
      <c r="A10" s="29"/>
      <c r="B10" s="30" t="s">
        <v>47</v>
      </c>
      <c r="C10" s="31"/>
      <c r="D10" s="31"/>
      <c r="E10" s="31"/>
      <c r="F10" s="31"/>
      <c r="G10" s="31"/>
      <c r="H10" s="31"/>
      <c r="I10" s="31"/>
    </row>
    <row r="11" customFormat="false" ht="15" hidden="false" customHeight="true" outlineLevel="0" collapsed="false">
      <c r="A11" s="29"/>
      <c r="B11" s="25" t="s">
        <v>41</v>
      </c>
      <c r="C11" s="27"/>
      <c r="D11" s="25" t="s">
        <v>43</v>
      </c>
      <c r="E11" s="32"/>
      <c r="F11" s="29"/>
      <c r="G11" s="29"/>
      <c r="H11" s="29"/>
      <c r="I11" s="29"/>
    </row>
    <row r="12" customFormat="false" ht="15" hidden="false" customHeight="true" outlineLevel="0" collapsed="false">
      <c r="A12" s="29"/>
      <c r="B12" s="25" t="s">
        <v>44</v>
      </c>
      <c r="C12" s="32" t="n">
        <v>125</v>
      </c>
      <c r="D12" s="25" t="s">
        <v>45</v>
      </c>
      <c r="E12" s="32" t="n">
        <v>68</v>
      </c>
      <c r="F12" s="25" t="s">
        <v>46</v>
      </c>
      <c r="G12" s="32" t="n">
        <v>180</v>
      </c>
      <c r="H12" s="29"/>
      <c r="I12" s="29"/>
    </row>
    <row r="13" customFormat="false" ht="15" hidden="false" customHeight="true" outlineLevel="0" collapsed="false">
      <c r="A13" s="29"/>
      <c r="B13" s="29"/>
      <c r="C13" s="29"/>
      <c r="D13" s="29"/>
      <c r="E13" s="29"/>
      <c r="F13" s="29"/>
      <c r="G13" s="29"/>
      <c r="H13" s="29"/>
      <c r="I13" s="29"/>
    </row>
    <row r="14" customFormat="false" ht="19.5" hidden="false" customHeight="true" outlineLevel="0" collapsed="false">
      <c r="A14" s="29"/>
      <c r="B14" s="30" t="s">
        <v>48</v>
      </c>
      <c r="C14" s="31"/>
      <c r="D14" s="31"/>
      <c r="E14" s="31"/>
      <c r="F14" s="31"/>
      <c r="G14" s="31"/>
      <c r="H14" s="31"/>
      <c r="I14" s="31"/>
    </row>
    <row r="15" customFormat="false" ht="15" hidden="false" customHeight="true" outlineLevel="0" collapsed="false">
      <c r="A15" s="29"/>
      <c r="B15" s="25" t="s">
        <v>49</v>
      </c>
      <c r="C15" s="27"/>
      <c r="D15" s="29"/>
      <c r="E15" s="29"/>
      <c r="F15" s="29"/>
      <c r="G15" s="29"/>
      <c r="H15" s="29"/>
      <c r="I15" s="29"/>
    </row>
    <row r="16" customFormat="false" ht="19.5" hidden="false" customHeight="true" outlineLevel="0" collapsed="false">
      <c r="A16" s="29"/>
      <c r="B16" s="25" t="s">
        <v>50</v>
      </c>
      <c r="C16" s="27"/>
      <c r="D16" s="29"/>
      <c r="E16" s="29"/>
      <c r="F16" s="29"/>
      <c r="G16" s="29"/>
      <c r="H16" s="29"/>
      <c r="I16" s="29"/>
    </row>
    <row r="17" customFormat="false" ht="15" hidden="false" customHeight="true" outlineLevel="0" collapsed="false">
      <c r="A17" s="29"/>
      <c r="B17" s="25" t="s">
        <v>51</v>
      </c>
      <c r="C17" s="27"/>
      <c r="D17" s="29"/>
      <c r="E17" s="33"/>
      <c r="F17" s="29"/>
      <c r="G17" s="34"/>
      <c r="H17" s="29"/>
      <c r="I17" s="29"/>
    </row>
    <row r="18" customFormat="false" ht="15" hidden="false" customHeight="true" outlineLevel="0" collapsed="false">
      <c r="A18" s="29"/>
      <c r="B18" s="25" t="s">
        <v>52</v>
      </c>
      <c r="C18" s="27"/>
      <c r="D18" s="29"/>
      <c r="E18" s="29"/>
      <c r="F18" s="29"/>
      <c r="G18" s="29"/>
      <c r="H18" s="29"/>
      <c r="I18" s="29"/>
    </row>
    <row r="19" customFormat="false" ht="19.5" hidden="false" customHeight="true" outlineLevel="0" collapsed="false">
      <c r="A19" s="29"/>
      <c r="B19" s="29"/>
      <c r="C19" s="29"/>
      <c r="D19" s="29"/>
      <c r="E19" s="29"/>
      <c r="F19" s="29"/>
      <c r="G19" s="29"/>
      <c r="H19" s="29"/>
      <c r="I19" s="29"/>
    </row>
    <row r="20" customFormat="false" ht="19.5" hidden="false" customHeight="true" outlineLevel="0" collapsed="false">
      <c r="A20" s="35"/>
      <c r="B20" s="36" t="s">
        <v>53</v>
      </c>
      <c r="C20" s="37"/>
      <c r="D20" s="37"/>
      <c r="E20" s="37"/>
      <c r="F20" s="37"/>
      <c r="G20" s="37"/>
      <c r="H20" s="37"/>
      <c r="I20" s="37"/>
    </row>
    <row r="21" customFormat="false" ht="15" hidden="false" customHeight="true" outlineLevel="0" collapsed="false">
      <c r="A21" s="29"/>
      <c r="B21" s="25" t="s">
        <v>54</v>
      </c>
      <c r="C21" s="38" t="s">
        <v>55</v>
      </c>
      <c r="D21" s="39" t="s">
        <v>56</v>
      </c>
      <c r="E21" s="40" t="n">
        <f aca="false">IF(C21="2 jours",1.2,1)</f>
        <v>1</v>
      </c>
      <c r="F21" s="39" t="s">
        <v>57</v>
      </c>
      <c r="G21" s="41" t="n">
        <v>0.2</v>
      </c>
      <c r="H21" s="42"/>
      <c r="I21" s="33"/>
    </row>
    <row r="22" customFormat="false" ht="15" hidden="false" customHeight="true" outlineLevel="0" collapsed="false">
      <c r="A22" s="29"/>
      <c r="B22" s="29"/>
      <c r="C22" s="42"/>
      <c r="D22" s="42"/>
      <c r="E22" s="42"/>
      <c r="F22" s="42"/>
      <c r="G22" s="42"/>
      <c r="H22" s="42"/>
      <c r="I22" s="33"/>
    </row>
    <row r="23" customFormat="false" ht="19.5" hidden="false" customHeight="true" outlineLevel="0" collapsed="false">
      <c r="A23" s="29"/>
      <c r="B23" s="30" t="s">
        <v>58</v>
      </c>
      <c r="C23" s="43"/>
      <c r="D23" s="43"/>
      <c r="E23" s="43"/>
      <c r="F23" s="43"/>
      <c r="G23" s="43"/>
      <c r="H23" s="43"/>
      <c r="I23" s="44"/>
    </row>
    <row r="24" customFormat="false" ht="15" hidden="false" customHeight="true" outlineLevel="0" collapsed="false">
      <c r="A24" s="29"/>
      <c r="B24" s="45" t="s">
        <v>59</v>
      </c>
      <c r="C24" s="46" t="s">
        <v>60</v>
      </c>
      <c r="D24" s="46" t="s">
        <v>61</v>
      </c>
      <c r="E24" s="46" t="s">
        <v>62</v>
      </c>
      <c r="F24" s="42"/>
      <c r="G24" s="42"/>
      <c r="H24" s="42"/>
      <c r="I24" s="33"/>
    </row>
    <row r="25" customFormat="false" ht="30" hidden="false" customHeight="true" outlineLevel="0" collapsed="false">
      <c r="A25" s="29"/>
      <c r="B25" s="47" t="s">
        <v>63</v>
      </c>
      <c r="C25" s="48" t="s">
        <v>64</v>
      </c>
      <c r="D25" s="49" t="n">
        <v>60</v>
      </c>
      <c r="E25" s="50" t="s">
        <v>65</v>
      </c>
      <c r="F25" s="29"/>
      <c r="G25" s="29"/>
      <c r="H25" s="29"/>
      <c r="I25" s="29"/>
    </row>
    <row r="26" customFormat="false" ht="30" hidden="false" customHeight="true" outlineLevel="0" collapsed="false">
      <c r="A26" s="29"/>
      <c r="B26" s="47" t="s">
        <v>66</v>
      </c>
      <c r="C26" s="48" t="s">
        <v>64</v>
      </c>
      <c r="D26" s="49" t="n">
        <v>80</v>
      </c>
      <c r="E26" s="50" t="s">
        <v>67</v>
      </c>
      <c r="F26" s="29"/>
      <c r="G26" s="42"/>
      <c r="H26" s="42"/>
      <c r="I26" s="29"/>
    </row>
    <row r="27" customFormat="false" ht="30" hidden="false" customHeight="true" outlineLevel="0" collapsed="false">
      <c r="A27" s="29"/>
      <c r="B27" s="47" t="s">
        <v>68</v>
      </c>
      <c r="C27" s="48" t="s">
        <v>64</v>
      </c>
      <c r="D27" s="49" t="n">
        <v>150</v>
      </c>
      <c r="E27" s="50" t="s">
        <v>69</v>
      </c>
      <c r="F27" s="29"/>
      <c r="G27" s="29"/>
      <c r="H27" s="29"/>
      <c r="I27" s="29"/>
    </row>
    <row r="28" customFormat="false" ht="30" hidden="false" customHeight="true" outlineLevel="0" collapsed="false">
      <c r="A28" s="29"/>
      <c r="B28" s="47" t="s">
        <v>70</v>
      </c>
      <c r="C28" s="48" t="s">
        <v>64</v>
      </c>
      <c r="D28" s="49" t="n">
        <v>180</v>
      </c>
      <c r="E28" s="50" t="s">
        <v>71</v>
      </c>
      <c r="F28" s="29"/>
      <c r="G28" s="29"/>
      <c r="H28" s="51"/>
      <c r="I28" s="29"/>
    </row>
    <row r="29" customFormat="false" ht="30" hidden="false" customHeight="true" outlineLevel="0" collapsed="false">
      <c r="A29" s="29"/>
      <c r="B29" s="47" t="s">
        <v>72</v>
      </c>
      <c r="C29" s="48" t="s">
        <v>64</v>
      </c>
      <c r="D29" s="49" t="n">
        <v>100</v>
      </c>
      <c r="E29" s="50" t="s">
        <v>73</v>
      </c>
      <c r="F29" s="29"/>
      <c r="G29" s="29"/>
      <c r="H29" s="29"/>
      <c r="I29" s="29"/>
    </row>
    <row r="30" customFormat="false" ht="19.5" hidden="false" customHeight="true" outlineLevel="0" collapsed="false">
      <c r="A30" s="29"/>
      <c r="B30" s="52" t="s">
        <v>74</v>
      </c>
      <c r="C30" s="53"/>
      <c r="D30" s="54" t="n">
        <f aca="false">SUMPRODUCT((C25:C29="Oui")*D25:D29)</f>
        <v>0</v>
      </c>
      <c r="E30" s="29"/>
      <c r="F30" s="29"/>
      <c r="G30" s="29"/>
      <c r="H30" s="29"/>
      <c r="I30" s="29"/>
    </row>
    <row r="31" customFormat="false" ht="15" hidden="false" customHeight="true" outlineLevel="0" collapsed="false">
      <c r="A31" s="29"/>
      <c r="B31" s="29"/>
      <c r="C31" s="29"/>
      <c r="D31" s="29"/>
      <c r="E31" s="29"/>
      <c r="F31" s="29"/>
      <c r="G31" s="29"/>
      <c r="H31" s="29"/>
      <c r="I31" s="29"/>
    </row>
    <row r="32" customFormat="false" ht="19.5" hidden="false" customHeight="true" outlineLevel="0" collapsed="false">
      <c r="A32" s="29"/>
      <c r="B32" s="30" t="s">
        <v>75</v>
      </c>
      <c r="C32" s="31"/>
      <c r="D32" s="31"/>
      <c r="E32" s="31"/>
      <c r="F32" s="31"/>
      <c r="G32" s="31"/>
      <c r="H32" s="31"/>
      <c r="I32" s="31"/>
    </row>
    <row r="33" customFormat="false" ht="15" hidden="false" customHeight="true" outlineLevel="0" collapsed="false">
      <c r="A33" s="45" t="s">
        <v>13</v>
      </c>
      <c r="B33" s="45" t="s">
        <v>76</v>
      </c>
      <c r="C33" s="45" t="s">
        <v>77</v>
      </c>
      <c r="D33" s="45" t="s">
        <v>78</v>
      </c>
      <c r="E33" s="45" t="s">
        <v>79</v>
      </c>
      <c r="F33" s="45" t="s">
        <v>80</v>
      </c>
      <c r="G33" s="45" t="s">
        <v>81</v>
      </c>
      <c r="H33" s="45" t="s">
        <v>82</v>
      </c>
      <c r="I33" s="45" t="s">
        <v>83</v>
      </c>
    </row>
    <row r="34" customFormat="false" ht="15" hidden="false" customHeight="true" outlineLevel="0" collapsed="false">
      <c r="A34" s="47" t="n">
        <f aca="false">'Feuille 1'!F21</f>
        <v>2</v>
      </c>
      <c r="B34" s="47" t="s">
        <v>84</v>
      </c>
      <c r="C34" s="55" t="n">
        <v>13.92</v>
      </c>
      <c r="D34" s="55" t="n">
        <v>30</v>
      </c>
      <c r="E34" s="56" t="n">
        <f aca="false">D34*A34</f>
        <v>60</v>
      </c>
      <c r="F34" s="56" t="n">
        <f aca="false">C34*(1+$G$21)</f>
        <v>16.704</v>
      </c>
      <c r="G34" s="56" t="n">
        <f aca="false">A34*F34</f>
        <v>33.408</v>
      </c>
      <c r="H34" s="56" t="n">
        <f aca="false">E34*(1+$G$21)*$E$21</f>
        <v>72</v>
      </c>
      <c r="I34" s="57" t="n">
        <f aca="false">$E$21</f>
        <v>1</v>
      </c>
    </row>
    <row r="35" customFormat="false" ht="15" hidden="false" customHeight="true" outlineLevel="0" collapsed="false">
      <c r="A35" s="47" t="n">
        <f aca="false">'Feuille 1'!G21</f>
        <v>1</v>
      </c>
      <c r="B35" s="47" t="s">
        <v>85</v>
      </c>
      <c r="C35" s="55" t="n">
        <v>35</v>
      </c>
      <c r="D35" s="55" t="n">
        <v>40</v>
      </c>
      <c r="E35" s="56" t="n">
        <f aca="false">D35*A35</f>
        <v>40</v>
      </c>
      <c r="F35" s="56" t="n">
        <f aca="false">C35*(1+$G$21)</f>
        <v>42</v>
      </c>
      <c r="G35" s="56" t="n">
        <f aca="false">A35*F35</f>
        <v>42</v>
      </c>
      <c r="H35" s="56" t="n">
        <f aca="false">E35*(1+$G$21)*$E$21</f>
        <v>48</v>
      </c>
      <c r="I35" s="57" t="n">
        <f aca="false">$E$21</f>
        <v>1</v>
      </c>
    </row>
    <row r="36" customFormat="false" ht="19.5" hidden="false" customHeight="true" outlineLevel="0" collapsed="false">
      <c r="A36" s="47" t="n">
        <f aca="false">'Feuille 1'!H21</f>
        <v>12</v>
      </c>
      <c r="B36" s="47" t="s">
        <v>86</v>
      </c>
      <c r="C36" s="55" t="n">
        <v>6.75</v>
      </c>
      <c r="D36" s="55" t="n">
        <v>9</v>
      </c>
      <c r="E36" s="56" t="n">
        <f aca="false">D36*A36</f>
        <v>108</v>
      </c>
      <c r="F36" s="56" t="n">
        <f aca="false">C36*(1+$G$21)</f>
        <v>8.1</v>
      </c>
      <c r="G36" s="56" t="n">
        <f aca="false">A36*F36</f>
        <v>97.2</v>
      </c>
      <c r="H36" s="56" t="n">
        <f aca="false">E36*(1+$G$21)*$E$21</f>
        <v>129.6</v>
      </c>
      <c r="I36" s="57" t="n">
        <f aca="false">$E$21</f>
        <v>1</v>
      </c>
    </row>
    <row r="37" customFormat="false" ht="15" hidden="false" customHeight="true" outlineLevel="0" collapsed="false">
      <c r="A37" s="47" t="n">
        <f aca="false">'Feuille 1'!A22</f>
        <v>36</v>
      </c>
      <c r="B37" s="47" t="s">
        <v>87</v>
      </c>
      <c r="C37" s="55" t="n">
        <v>0.15</v>
      </c>
      <c r="D37" s="55" t="n">
        <v>0</v>
      </c>
      <c r="E37" s="56" t="n">
        <f aca="false">D37*A37</f>
        <v>0</v>
      </c>
      <c r="F37" s="56" t="n">
        <f aca="false">C37*(1+$G$21)</f>
        <v>0.18</v>
      </c>
      <c r="G37" s="56" t="n">
        <f aca="false">A37*F37</f>
        <v>6.48</v>
      </c>
      <c r="H37" s="56" t="n">
        <f aca="false">E37*(1+$G$21)*$E$21</f>
        <v>0</v>
      </c>
      <c r="I37" s="57" t="n">
        <f aca="false">$E$21</f>
        <v>1</v>
      </c>
    </row>
    <row r="38" customFormat="false" ht="15" hidden="false" customHeight="true" outlineLevel="0" collapsed="false">
      <c r="A38" s="53"/>
      <c r="B38" s="52" t="s">
        <v>88</v>
      </c>
      <c r="C38" s="53"/>
      <c r="D38" s="53"/>
      <c r="E38" s="53"/>
      <c r="F38" s="53"/>
      <c r="G38" s="58" t="n">
        <f aca="false">SUM(G34:G37)</f>
        <v>179.088</v>
      </c>
      <c r="H38" s="58" t="n">
        <f aca="false">SUM(H34:H37)</f>
        <v>249.6</v>
      </c>
      <c r="I38" s="53"/>
    </row>
    <row r="39" customFormat="false" ht="15" hidden="false" customHeight="true" outlineLevel="0" collapsed="false">
      <c r="A39" s="29"/>
      <c r="B39" s="29"/>
      <c r="C39" s="29"/>
      <c r="D39" s="29"/>
      <c r="E39" s="29"/>
      <c r="F39" s="29"/>
      <c r="G39" s="29"/>
      <c r="H39" s="29"/>
      <c r="I39" s="29"/>
    </row>
    <row r="40" customFormat="false" ht="19.5" hidden="false" customHeight="true" outlineLevel="0" collapsed="false">
      <c r="A40" s="29"/>
      <c r="B40" s="30" t="s">
        <v>89</v>
      </c>
      <c r="C40" s="31"/>
      <c r="D40" s="31"/>
      <c r="E40" s="31"/>
      <c r="F40" s="31"/>
      <c r="G40" s="31"/>
      <c r="H40" s="31"/>
      <c r="I40" s="31"/>
    </row>
    <row r="41" customFormat="false" ht="21.75" hidden="false" customHeight="true" outlineLevel="0" collapsed="false">
      <c r="A41" s="45" t="s">
        <v>13</v>
      </c>
      <c r="B41" s="45" t="s">
        <v>76</v>
      </c>
      <c r="C41" s="45" t="s">
        <v>77</v>
      </c>
      <c r="D41" s="45" t="s">
        <v>78</v>
      </c>
      <c r="E41" s="45" t="s">
        <v>79</v>
      </c>
      <c r="F41" s="45" t="s">
        <v>80</v>
      </c>
      <c r="G41" s="45" t="s">
        <v>81</v>
      </c>
      <c r="H41" s="45" t="s">
        <v>82</v>
      </c>
      <c r="I41" s="45" t="s">
        <v>83</v>
      </c>
    </row>
    <row r="42" customFormat="false" ht="15" hidden="false" customHeight="true" outlineLevel="0" collapsed="false">
      <c r="A42" s="47" t="n">
        <f aca="false">IF($C$12="",0,'Feuille 1 - Objet 2'!F21)</f>
        <v>6</v>
      </c>
      <c r="B42" s="47" t="s">
        <v>84</v>
      </c>
      <c r="C42" s="55" t="n">
        <v>13.92</v>
      </c>
      <c r="D42" s="55" t="n">
        <v>30</v>
      </c>
      <c r="E42" s="56" t="n">
        <f aca="false">D42*A42</f>
        <v>180</v>
      </c>
      <c r="F42" s="56" t="n">
        <f aca="false">C42*(1+$G$21)</f>
        <v>16.704</v>
      </c>
      <c r="G42" s="56" t="n">
        <f aca="false">A42*F42</f>
        <v>100.224</v>
      </c>
      <c r="H42" s="56" t="n">
        <f aca="false">E42*(1+$G$21)*$E$21</f>
        <v>216</v>
      </c>
      <c r="I42" s="57" t="n">
        <f aca="false">$E$21</f>
        <v>1</v>
      </c>
    </row>
    <row r="43" customFormat="false" ht="15" hidden="false" customHeight="true" outlineLevel="0" collapsed="false">
      <c r="A43" s="47" t="n">
        <f aca="false">IF($C$12="",0,'Feuille 1 - Objet 2'!G21)</f>
        <v>2</v>
      </c>
      <c r="B43" s="47" t="s">
        <v>85</v>
      </c>
      <c r="C43" s="55" t="n">
        <v>35</v>
      </c>
      <c r="D43" s="55" t="n">
        <v>40</v>
      </c>
      <c r="E43" s="56" t="n">
        <f aca="false">D43*A43</f>
        <v>80</v>
      </c>
      <c r="F43" s="56" t="n">
        <f aca="false">C43*(1+$G$21)</f>
        <v>42</v>
      </c>
      <c r="G43" s="56" t="n">
        <f aca="false">A43*F43</f>
        <v>84</v>
      </c>
      <c r="H43" s="56" t="n">
        <f aca="false">E43*(1+$G$21)*$E$21</f>
        <v>96</v>
      </c>
      <c r="I43" s="57" t="n">
        <f aca="false">$E$21</f>
        <v>1</v>
      </c>
    </row>
    <row r="44" customFormat="false" ht="15" hidden="false" customHeight="true" outlineLevel="0" collapsed="false">
      <c r="A44" s="47" t="n">
        <f aca="false">IF($C$12="",0,'Feuille 1 - Objet 2'!H21)</f>
        <v>18</v>
      </c>
      <c r="B44" s="47" t="s">
        <v>86</v>
      </c>
      <c r="C44" s="55" t="n">
        <v>6.75</v>
      </c>
      <c r="D44" s="55" t="n">
        <v>9</v>
      </c>
      <c r="E44" s="56" t="n">
        <f aca="false">D44*A44</f>
        <v>162</v>
      </c>
      <c r="F44" s="56" t="n">
        <f aca="false">C44*(1+$G$21)</f>
        <v>8.1</v>
      </c>
      <c r="G44" s="56" t="n">
        <f aca="false">A44*F44</f>
        <v>145.8</v>
      </c>
      <c r="H44" s="56" t="n">
        <f aca="false">E44*(1+$G$21)*$E$21</f>
        <v>194.4</v>
      </c>
      <c r="I44" s="57" t="n">
        <f aca="false">$E$21</f>
        <v>1</v>
      </c>
    </row>
    <row r="45" customFormat="false" ht="15" hidden="false" customHeight="true" outlineLevel="0" collapsed="false">
      <c r="A45" s="47" t="n">
        <f aca="false">IF($C$12="",0,'Feuille 1 - Objet 2'!A22)</f>
        <v>36</v>
      </c>
      <c r="B45" s="47" t="s">
        <v>87</v>
      </c>
      <c r="C45" s="55" t="n">
        <v>0.15</v>
      </c>
      <c r="D45" s="55" t="n">
        <v>0</v>
      </c>
      <c r="E45" s="56" t="n">
        <f aca="false">D45*A45</f>
        <v>0</v>
      </c>
      <c r="F45" s="56" t="n">
        <f aca="false">C45*(1+$G$21)</f>
        <v>0.18</v>
      </c>
      <c r="G45" s="56" t="n">
        <f aca="false">A45*F45</f>
        <v>6.48</v>
      </c>
      <c r="H45" s="56" t="n">
        <f aca="false">E45*(1+$G$21)*$E$21</f>
        <v>0</v>
      </c>
      <c r="I45" s="57" t="n">
        <f aca="false">$E$21</f>
        <v>1</v>
      </c>
    </row>
    <row r="46" customFormat="false" ht="15" hidden="false" customHeight="true" outlineLevel="0" collapsed="false">
      <c r="A46" s="53"/>
      <c r="B46" s="52" t="s">
        <v>90</v>
      </c>
      <c r="C46" s="53"/>
      <c r="D46" s="53"/>
      <c r="E46" s="53"/>
      <c r="F46" s="53"/>
      <c r="G46" s="58" t="n">
        <f aca="false">SUM(G42:G45)</f>
        <v>336.504</v>
      </c>
      <c r="H46" s="58" t="n">
        <f aca="false">SUM(H42:H45)</f>
        <v>506.4</v>
      </c>
      <c r="I46" s="53"/>
    </row>
    <row r="47" customFormat="false" ht="15" hidden="false" customHeight="true" outlineLevel="0" collapsed="false">
      <c r="A47" s="29"/>
      <c r="B47" s="29"/>
      <c r="C47" s="29"/>
      <c r="D47" s="29"/>
      <c r="E47" s="29"/>
      <c r="F47" s="29"/>
      <c r="G47" s="29"/>
      <c r="H47" s="29"/>
      <c r="I47" s="29"/>
    </row>
    <row r="48" customFormat="false" ht="24" hidden="false" customHeight="true" outlineLevel="0" collapsed="false">
      <c r="A48" s="29"/>
      <c r="B48" s="59" t="s">
        <v>91</v>
      </c>
      <c r="C48" s="60"/>
      <c r="D48" s="60"/>
      <c r="E48" s="60"/>
      <c r="F48" s="60"/>
      <c r="G48" s="60"/>
      <c r="H48" s="61" t="n">
        <f aca="false">G38+H38+G46+H46+D30</f>
        <v>1271.592</v>
      </c>
      <c r="I48" s="29"/>
    </row>
    <row r="49" customFormat="false" ht="15" hidden="false" customHeight="true" outlineLevel="0" collapsed="false">
      <c r="A49" s="29"/>
      <c r="B49" s="29"/>
      <c r="C49" s="29"/>
      <c r="D49" s="29"/>
      <c r="E49" s="29"/>
      <c r="F49" s="29"/>
      <c r="G49" s="29"/>
      <c r="H49" s="29"/>
      <c r="I49" s="29"/>
    </row>
    <row r="50" customFormat="false" ht="19.5" hidden="false" customHeight="true" outlineLevel="0" collapsed="false">
      <c r="A50" s="29"/>
      <c r="B50" s="30" t="s">
        <v>92</v>
      </c>
      <c r="C50" s="31"/>
      <c r="D50" s="31"/>
      <c r="E50" s="31"/>
      <c r="F50" s="31"/>
      <c r="G50" s="31"/>
      <c r="H50" s="31"/>
      <c r="I50" s="31"/>
    </row>
    <row r="51" customFormat="false" ht="15" hidden="false" customHeight="true" outlineLevel="0" collapsed="false">
      <c r="A51" s="29"/>
      <c r="B51" s="62" t="s">
        <v>93</v>
      </c>
      <c r="C51" s="29"/>
      <c r="D51" s="29"/>
      <c r="E51" s="29"/>
      <c r="F51" s="29"/>
      <c r="G51" s="29"/>
      <c r="H51" s="29"/>
      <c r="I51" s="29"/>
    </row>
    <row r="52" customFormat="false" ht="15" hidden="false" customHeight="true" outlineLevel="0" collapsed="false">
      <c r="A52" s="29"/>
      <c r="B52" s="62" t="s">
        <v>94</v>
      </c>
      <c r="C52" s="29"/>
      <c r="D52" s="29"/>
      <c r="E52" s="29"/>
      <c r="F52" s="29"/>
      <c r="G52" s="29"/>
      <c r="H52" s="29"/>
      <c r="I52" s="29"/>
    </row>
    <row r="53" customFormat="false" ht="15" hidden="false" customHeight="true" outlineLevel="0" collapsed="false">
      <c r="A53" s="29"/>
      <c r="B53" s="62" t="s">
        <v>95</v>
      </c>
      <c r="C53" s="29"/>
      <c r="D53" s="29"/>
      <c r="E53" s="29"/>
      <c r="F53" s="29"/>
      <c r="G53" s="29"/>
      <c r="H53" s="29"/>
      <c r="I53" s="29"/>
    </row>
    <row r="54" customFormat="false" ht="15" hidden="false" customHeight="true" outlineLevel="0" collapsed="false">
      <c r="A54" s="29"/>
      <c r="B54" s="62" t="s">
        <v>96</v>
      </c>
      <c r="C54" s="29"/>
      <c r="D54" s="29"/>
      <c r="E54" s="29"/>
      <c r="F54" s="29"/>
      <c r="G54" s="29"/>
      <c r="H54" s="29"/>
      <c r="I54" s="29"/>
    </row>
    <row r="55" customFormat="false" ht="15" hidden="false" customHeight="true" outlineLevel="0" collapsed="false">
      <c r="A55" s="29"/>
      <c r="B55" s="62" t="s">
        <v>97</v>
      </c>
      <c r="C55" s="29"/>
      <c r="D55" s="29"/>
      <c r="E55" s="29"/>
      <c r="F55" s="29"/>
      <c r="G55" s="29"/>
      <c r="H55" s="29"/>
      <c r="I55" s="29"/>
    </row>
    <row r="56" customFormat="false" ht="15" hidden="false" customHeight="true" outlineLevel="0" collapsed="false">
      <c r="A56" s="29"/>
      <c r="B56" s="29"/>
      <c r="C56" s="29"/>
      <c r="D56" s="29"/>
      <c r="E56" s="29"/>
      <c r="F56" s="29"/>
      <c r="G56" s="29"/>
      <c r="H56" s="29"/>
      <c r="I56" s="29"/>
    </row>
    <row r="57" customFormat="false" ht="19.5" hidden="false" customHeight="true" outlineLevel="0" collapsed="false">
      <c r="A57" s="29"/>
      <c r="B57" s="30" t="s">
        <v>98</v>
      </c>
      <c r="C57" s="31"/>
      <c r="D57" s="31"/>
      <c r="E57" s="31"/>
      <c r="F57" s="31"/>
      <c r="G57" s="31"/>
      <c r="H57" s="31"/>
      <c r="I57" s="31"/>
    </row>
    <row r="58" customFormat="false" ht="15" hidden="false" customHeight="true" outlineLevel="0" collapsed="false">
      <c r="A58" s="29"/>
      <c r="B58" s="25" t="s">
        <v>99</v>
      </c>
      <c r="C58" s="27" t="s">
        <v>37</v>
      </c>
      <c r="D58" s="29"/>
      <c r="E58" s="29"/>
      <c r="F58" s="29"/>
      <c r="G58" s="29"/>
      <c r="H58" s="29"/>
      <c r="I58" s="29"/>
    </row>
    <row r="59" customFormat="false" ht="15" hidden="false" customHeight="true" outlineLevel="0" collapsed="false">
      <c r="A59" s="29"/>
      <c r="B59" s="25" t="s">
        <v>100</v>
      </c>
      <c r="C59" s="27" t="s">
        <v>37</v>
      </c>
      <c r="D59" s="29"/>
      <c r="E59" s="29"/>
      <c r="F59" s="29"/>
      <c r="G59" s="29"/>
      <c r="H59" s="29"/>
      <c r="I59" s="29"/>
    </row>
    <row r="60" customFormat="false" ht="15" hidden="false" customHeight="true" outlineLevel="0" collapsed="false">
      <c r="A60" s="29"/>
      <c r="B60" s="25" t="s">
        <v>101</v>
      </c>
      <c r="C60" s="27" t="s">
        <v>37</v>
      </c>
      <c r="D60" s="29"/>
      <c r="E60" s="29"/>
      <c r="F60" s="29"/>
      <c r="G60" s="29"/>
      <c r="H60" s="29"/>
      <c r="I60" s="29"/>
    </row>
    <row r="61" customFormat="false" ht="15" hidden="false" customHeight="true" outlineLevel="0" collapsed="false">
      <c r="A61" s="29"/>
      <c r="B61" s="25" t="s">
        <v>102</v>
      </c>
      <c r="C61" s="27" t="s">
        <v>37</v>
      </c>
      <c r="D61" s="29"/>
      <c r="E61" s="29"/>
      <c r="F61" s="29"/>
      <c r="G61" s="29"/>
      <c r="H61" s="29"/>
      <c r="I61" s="29"/>
    </row>
    <row r="62" customFormat="false" ht="15" hidden="false" customHeight="true" outlineLevel="0" collapsed="false">
      <c r="A62" s="29"/>
      <c r="B62" s="29"/>
      <c r="C62" s="29"/>
      <c r="D62" s="29"/>
      <c r="E62" s="29"/>
      <c r="F62" s="29"/>
      <c r="G62" s="29"/>
      <c r="H62" s="29"/>
      <c r="I62" s="29"/>
    </row>
    <row r="63" customFormat="false" ht="15" hidden="false" customHeight="true" outlineLevel="0" collapsed="false">
      <c r="A63" s="29"/>
      <c r="B63" s="25" t="s">
        <v>103</v>
      </c>
      <c r="C63" s="28" t="n">
        <f aca="true">TODAY()</f>
        <v>46279</v>
      </c>
      <c r="D63" s="29"/>
      <c r="E63" s="29"/>
      <c r="F63" s="29"/>
      <c r="G63" s="29"/>
      <c r="H63" s="29"/>
      <c r="I63" s="29"/>
    </row>
    <row r="64" customFormat="false" ht="15" hidden="false" customHeight="true" outlineLevel="0" collapsed="false">
      <c r="A64" s="29"/>
      <c r="B64" s="25" t="s">
        <v>104</v>
      </c>
      <c r="C64" s="29"/>
      <c r="D64" s="29"/>
      <c r="E64" s="29"/>
      <c r="F64" s="29"/>
      <c r="G64" s="29"/>
      <c r="H64" s="29"/>
      <c r="I64" s="29"/>
    </row>
    <row r="65" customFormat="false" ht="15" hidden="false" customHeight="true" outlineLevel="0" collapsed="false">
      <c r="A65" s="29"/>
      <c r="B65" s="29"/>
      <c r="C65" s="29"/>
      <c r="D65" s="29"/>
      <c r="E65" s="29"/>
      <c r="F65" s="29"/>
      <c r="G65" s="29"/>
      <c r="H65" s="29"/>
      <c r="I65" s="29"/>
    </row>
  </sheetData>
  <dataValidations count="3">
    <dataValidation allowBlank="false" errorStyle="stop" operator="between" showDropDown="false" showErrorMessage="false" showInputMessage="false" sqref="C17" type="list">
      <formula1>"2 jours,2 à 4 jours"</formula1>
      <formula2>0</formula2>
    </dataValidation>
    <dataValidation allowBlank="false" errorStyle="stop" operator="between" showDropDown="false" showErrorMessage="false" showInputMessage="false" sqref="C21" type="list">
      <formula1>"2 jours,2 à 4 jours"</formula1>
      <formula2>0</formula2>
    </dataValidation>
    <dataValidation allowBlank="false" errorStyle="stop" operator="between" showDropDown="false" showErrorMessage="false" showInputMessage="false" sqref="C25:C29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2026-09-08T19:04:24Z</dcterms:created>
  <dc:creator>openpyxl</dc:creator>
  <dc:description/>
  <dc:language>en-US</dc:language>
  <cp:lastModifiedBy/>
  <dcterms:modified xsi:type="dcterms:W3CDTF">2026-09-14T16:30:11Z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